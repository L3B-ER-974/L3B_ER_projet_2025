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640" windowHeight="9990"/>
  </bookViews>
  <sheets>
    <sheet name="Feuil1" sheetId="1" r:id="rId1"/>
    <sheet name="Feuil2" sheetId="2" r:id="rId2"/>
    <sheet name="Feuil3" sheetId="3" r:id="rId3"/>
  </sheets>
  <definedNames>
    <definedName name="pcb_bateau" localSheetId="0">Feuil1!$A$1:$G$52</definedName>
    <definedName name="Untitled1" localSheetId="0">Feuil1!$O$1:$U$52</definedName>
  </definedNames>
  <calcPr calcId="124519"/>
</workbook>
</file>

<file path=xl/calcChain.xml><?xml version="1.0" encoding="utf-8"?>
<calcChain xmlns="http://schemas.openxmlformats.org/spreadsheetml/2006/main">
  <c r="M30" i="1"/>
  <c r="L26"/>
  <c r="M26" s="1"/>
  <c r="L25"/>
  <c r="M25" s="1"/>
  <c r="L28"/>
  <c r="M28" s="1"/>
  <c r="L2"/>
  <c r="M2" s="1"/>
  <c r="L27"/>
  <c r="M27" s="1"/>
  <c r="L20"/>
  <c r="M20" s="1"/>
  <c r="L8"/>
  <c r="M8" s="1"/>
  <c r="L29"/>
  <c r="M29" s="1"/>
  <c r="L3"/>
  <c r="M3" s="1"/>
  <c r="L4"/>
  <c r="M4" s="1"/>
  <c r="L5"/>
  <c r="M5" s="1"/>
  <c r="L6"/>
  <c r="M6" s="1"/>
  <c r="L7"/>
  <c r="M7" s="1"/>
  <c r="L9"/>
  <c r="M9" s="1"/>
  <c r="L10"/>
  <c r="M10" s="1"/>
  <c r="L11"/>
  <c r="M11" s="1"/>
  <c r="L12"/>
  <c r="M12" s="1"/>
  <c r="L13"/>
  <c r="M13" s="1"/>
  <c r="L14"/>
  <c r="M14" s="1"/>
  <c r="L15"/>
  <c r="M15" s="1"/>
  <c r="L16"/>
  <c r="M16" s="1"/>
  <c r="L17"/>
  <c r="M17" s="1"/>
  <c r="L18"/>
  <c r="M18" s="1"/>
  <c r="L19"/>
  <c r="M19" s="1"/>
  <c r="L21"/>
  <c r="M21" s="1"/>
  <c r="L22"/>
  <c r="M22" s="1"/>
  <c r="L23"/>
  <c r="M23" s="1"/>
  <c r="L24"/>
  <c r="M24" s="1"/>
</calcChain>
</file>

<file path=xl/connections.xml><?xml version="1.0" encoding="utf-8"?>
<connections xmlns="http://schemas.openxmlformats.org/spreadsheetml/2006/main">
  <connection id="1" name="pcb bateau" type="6" refreshedVersion="3" background="1" saveData="1">
    <textPr codePage="850" sourceFile="D:\Electronique&amp;Reseau\Projet 2025\pcb bateau.bom" delimited="0" decimal="," thousands=" ">
      <textFields count="7">
        <textField/>
        <textField position="7"/>
        <textField position="23"/>
        <textField position="38"/>
        <textField position="54"/>
        <textField position="70"/>
        <textField position="86"/>
      </textFields>
    </textPr>
  </connection>
  <connection id="2" name="Untitled1" type="6" refreshedVersion="3" background="1" saveData="1">
    <textPr codePage="850" sourceFile="C:\Users\Etudiant\Desktop\Projet 2025\Untitled1.bom" delimited="0" decimal="," thousands=" ">
      <textFields count="7">
        <textField/>
        <textField position="7"/>
        <textField position="23"/>
        <textField position="38"/>
        <textField position="54"/>
        <textField position="70"/>
        <textField position="86"/>
      </textFields>
    </textPr>
  </connection>
</connections>
</file>

<file path=xl/sharedStrings.xml><?xml version="1.0" encoding="utf-8"?>
<sst xmlns="http://schemas.openxmlformats.org/spreadsheetml/2006/main" count="400" uniqueCount="221">
  <si>
    <t>Count</t>
  </si>
  <si>
    <t>ComponentName</t>
  </si>
  <si>
    <t>RefDes</t>
  </si>
  <si>
    <t>PatternName</t>
  </si>
  <si>
    <t>Value</t>
  </si>
  <si>
    <t>CurrentFootprin</t>
  </si>
  <si>
    <t>Description</t>
  </si>
  <si>
    <t>------</t>
  </si>
  <si>
    <t>---------------</t>
  </si>
  <si>
    <t>ATMEGA328-16AU</t>
  </si>
  <si>
    <t>U4</t>
  </si>
  <si>
    <t>QFP32</t>
  </si>
  <si>
    <t>Primary</t>
  </si>
  <si>
    <t>CAP1206</t>
  </si>
  <si>
    <t>C1</t>
  </si>
  <si>
    <t>CC1206</t>
  </si>
  <si>
    <t>22pF</t>
  </si>
  <si>
    <t>Capacitor</t>
  </si>
  <si>
    <t>C2</t>
  </si>
  <si>
    <t>C8</t>
  </si>
  <si>
    <t>100nF</t>
  </si>
  <si>
    <t>C4</t>
  </si>
  <si>
    <t>C13</t>
  </si>
  <si>
    <t>C14</t>
  </si>
  <si>
    <t>C10</t>
  </si>
  <si>
    <t>470nF</t>
  </si>
  <si>
    <t>C5</t>
  </si>
  <si>
    <t>560pF</t>
  </si>
  <si>
    <t>C6</t>
  </si>
  <si>
    <t>CAP2220P</t>
  </si>
  <si>
    <t>C9</t>
  </si>
  <si>
    <t>CAPPOL</t>
  </si>
  <si>
    <t>100uF</t>
  </si>
  <si>
    <t>C11</t>
  </si>
  <si>
    <t>C12</t>
  </si>
  <si>
    <t>GX12</t>
  </si>
  <si>
    <t>U3</t>
  </si>
  <si>
    <t>GX12-PAT</t>
  </si>
  <si>
    <t>NMEA2000</t>
  </si>
  <si>
    <t>HE10_6</t>
  </si>
  <si>
    <t>J2</t>
  </si>
  <si>
    <t>IND_PUIS</t>
  </si>
  <si>
    <t>L1</t>
  </si>
  <si>
    <t>SM7850PAT</t>
  </si>
  <si>
    <t>100uH</t>
  </si>
  <si>
    <t>JUMPER</t>
  </si>
  <si>
    <t>S1</t>
  </si>
  <si>
    <t>CON2</t>
  </si>
  <si>
    <t>LED_CMS</t>
  </si>
  <si>
    <t>D3</t>
  </si>
  <si>
    <t>RC1206</t>
  </si>
  <si>
    <t>D2</t>
  </si>
  <si>
    <t>D1</t>
  </si>
  <si>
    <t>D4</t>
  </si>
  <si>
    <t>POWER</t>
  </si>
  <si>
    <t>MBRA340T3</t>
  </si>
  <si>
    <t>D6</t>
  </si>
  <si>
    <t>403D</t>
  </si>
  <si>
    <t>MCP2515</t>
  </si>
  <si>
    <t>U1</t>
  </si>
  <si>
    <t>WSO18</t>
  </si>
  <si>
    <t>MCP2551</t>
  </si>
  <si>
    <t>U2</t>
  </si>
  <si>
    <t>SO8</t>
  </si>
  <si>
    <t>QUARTZ V</t>
  </si>
  <si>
    <t>X1</t>
  </si>
  <si>
    <t>QUARTZV</t>
  </si>
  <si>
    <t>16MHz</t>
  </si>
  <si>
    <t>Crystal</t>
  </si>
  <si>
    <t>X2</t>
  </si>
  <si>
    <t>RES1206</t>
  </si>
  <si>
    <t>R2</t>
  </si>
  <si>
    <t>1k</t>
  </si>
  <si>
    <t>R3</t>
  </si>
  <si>
    <t>R4</t>
  </si>
  <si>
    <t>R5</t>
  </si>
  <si>
    <t>R6</t>
  </si>
  <si>
    <t>R1</t>
  </si>
  <si>
    <t>10k</t>
  </si>
  <si>
    <t>R7</t>
  </si>
  <si>
    <t>R10</t>
  </si>
  <si>
    <t>R11</t>
  </si>
  <si>
    <t>RWSC1.0</t>
  </si>
  <si>
    <t>R8</t>
  </si>
  <si>
    <t>WSC</t>
  </si>
  <si>
    <t>R9</t>
  </si>
  <si>
    <t>SALEAE_ANALYZER</t>
  </si>
  <si>
    <t>J1</t>
  </si>
  <si>
    <t>IDC10M</t>
  </si>
  <si>
    <t>SMBJ6.0AC</t>
  </si>
  <si>
    <t>D5</t>
  </si>
  <si>
    <t>DO214</t>
  </si>
  <si>
    <t>XL1509-5.0</t>
  </si>
  <si>
    <t>U5</t>
  </si>
  <si>
    <t>Qu.</t>
  </si>
  <si>
    <t>Repère</t>
  </si>
  <si>
    <t>Désignation</t>
  </si>
  <si>
    <t>Valeur / Réference</t>
  </si>
  <si>
    <t>Précision / Equivalent</t>
  </si>
  <si>
    <t>Boitier</t>
  </si>
  <si>
    <t>Fabricant</t>
  </si>
  <si>
    <t>Fournisseur</t>
  </si>
  <si>
    <t>Réf. Fournisseur</t>
  </si>
  <si>
    <t>Conditionnement</t>
  </si>
  <si>
    <t>Prix condit.</t>
  </si>
  <si>
    <t>Prix unitaire</t>
  </si>
  <si>
    <t>Prix total</t>
  </si>
  <si>
    <t>Cal-Chip Electronics, Inc.</t>
  </si>
  <si>
    <t>Digi Key</t>
  </si>
  <si>
    <t xml:space="preserve">Condensateur </t>
  </si>
  <si>
    <t>X1, X2</t>
  </si>
  <si>
    <t>C5, C6</t>
  </si>
  <si>
    <t>Total</t>
  </si>
  <si>
    <t>VG-AL83</t>
  </si>
  <si>
    <t>82x50x20</t>
  </si>
  <si>
    <t>Vange</t>
  </si>
  <si>
    <t>AliExpress</t>
  </si>
  <si>
    <t>Circuit imprimé  118x72 mm</t>
  </si>
  <si>
    <t>PCBWAY</t>
  </si>
  <si>
    <t>P-CAD B</t>
  </si>
  <si>
    <t>ill of Materials</t>
  </si>
  <si>
    <t>Untitled1.pcb</t>
  </si>
  <si>
    <t>=======</t>
  </si>
  <si>
    <t>================</t>
  </si>
  <si>
    <t>===============</t>
  </si>
  <si>
    <t>C15</t>
  </si>
  <si>
    <t>CAN-INT</t>
  </si>
  <si>
    <t>CAN-RXD</t>
  </si>
  <si>
    <t>CAN-TXD</t>
  </si>
  <si>
    <t>NEO-6M</t>
  </si>
  <si>
    <t>NEO</t>
  </si>
  <si>
    <t>4K7</t>
  </si>
  <si>
    <t>U6</t>
  </si>
  <si>
    <t xml:space="preserve">Microcontroleur </t>
  </si>
  <si>
    <t>Alimentation</t>
  </si>
  <si>
    <t>GPS</t>
  </si>
  <si>
    <t>Analyseur</t>
  </si>
  <si>
    <t>Oscilatteur</t>
  </si>
  <si>
    <t>D2, D3, D4, D5</t>
  </si>
  <si>
    <t>Résistance</t>
  </si>
  <si>
    <t>R9, R10</t>
  </si>
  <si>
    <t>R4, R5, R6,R7</t>
  </si>
  <si>
    <t>R2,R3</t>
  </si>
  <si>
    <t>C1, C2, C4</t>
  </si>
  <si>
    <t>C11, C12, C13, C14</t>
  </si>
  <si>
    <t>C9,C10,C15</t>
  </si>
  <si>
    <t xml:space="preserve"> 
MCP2515T-I/SOTR-ND</t>
  </si>
  <si>
    <t xml:space="preserve"> 
Microchip Technology</t>
  </si>
  <si>
    <t xml:space="preserve">     </t>
  </si>
  <si>
    <t>Atmel</t>
  </si>
  <si>
    <t>ATMEGA328-AU-ND</t>
  </si>
  <si>
    <t>TJA1050</t>
  </si>
  <si>
    <t>CONTROLLEUR bus can</t>
  </si>
  <si>
    <t xml:space="preserve">interface bus can </t>
  </si>
  <si>
    <t>NXP USA Inc</t>
  </si>
  <si>
    <t>568-10292-2-ND</t>
  </si>
  <si>
    <t>U-blox</t>
  </si>
  <si>
    <t>PMD-Way</t>
  </si>
  <si>
    <t xml:space="preserve">NEO-6M-compatible GPS 
</t>
  </si>
  <si>
    <t>.</t>
  </si>
  <si>
    <t>Connecteur circulaire</t>
  </si>
  <si>
    <t>12mm</t>
  </si>
  <si>
    <t>Olimex LTD</t>
  </si>
  <si>
    <t>1188-CONNECTOR-GX12-4-ND</t>
  </si>
  <si>
    <t>UMW</t>
  </si>
  <si>
    <t>4518-X1509-5,0TR-ND</t>
  </si>
  <si>
    <t>Bourns Inc.</t>
  </si>
  <si>
    <t>SRN6045-101MTR-ND</t>
  </si>
  <si>
    <t>Inductance 1A</t>
  </si>
  <si>
    <t>Embase male HE10</t>
  </si>
  <si>
    <t>IDC6M</t>
  </si>
  <si>
    <t>Sullins Connector.</t>
  </si>
  <si>
    <t>SBH11-PBPC-DO3-ST-BK-ND</t>
  </si>
  <si>
    <t>16Mhz</t>
  </si>
  <si>
    <t>HC49-US</t>
  </si>
  <si>
    <t>YXC</t>
  </si>
  <si>
    <t>4029-H1OED8K5SC-112YXC-16M-ND</t>
  </si>
  <si>
    <t>XL-3216SURC</t>
  </si>
  <si>
    <t>XINGLIGHT</t>
  </si>
  <si>
    <t>5962-XL.-3216SURCTR-ND</t>
  </si>
  <si>
    <t>LED ROUGE</t>
  </si>
  <si>
    <t>Diode transil double 6V</t>
  </si>
  <si>
    <t>Good-Ark semiconductor</t>
  </si>
  <si>
    <t>4786-SMBJ6-0CATR-ND</t>
  </si>
  <si>
    <t>Diode schottky double 6V</t>
  </si>
  <si>
    <t>onsemi</t>
  </si>
  <si>
    <t>MBRA34T3GOSTR-ND</t>
  </si>
  <si>
    <t>4K7 5%</t>
  </si>
  <si>
    <t>Yageo</t>
  </si>
  <si>
    <t>digi Key</t>
  </si>
  <si>
    <t>311-4,7KERTR-ND</t>
  </si>
  <si>
    <t>100Ω 5%</t>
  </si>
  <si>
    <t>311-100ERTR-ND</t>
  </si>
  <si>
    <t>10K 5%</t>
  </si>
  <si>
    <t>311-10KERTR-ND</t>
  </si>
  <si>
    <t>1K 5%</t>
  </si>
  <si>
    <t>311-1,0KERTR-ND</t>
  </si>
  <si>
    <t>311-120ERTR-ND</t>
  </si>
  <si>
    <t>120Ω 5%</t>
  </si>
  <si>
    <t>Résistance 1W</t>
  </si>
  <si>
    <t>10Ω 5%</t>
  </si>
  <si>
    <t>Stackpole</t>
  </si>
  <si>
    <t>RMCF2512JT10R0TR-ND</t>
  </si>
  <si>
    <t>22pF 10%</t>
  </si>
  <si>
    <t>Kemet</t>
  </si>
  <si>
    <t>399-C1206C220K5GAC7800Tr-ND</t>
  </si>
  <si>
    <t>399-C1206C104M5RECAUTOTR-ND</t>
  </si>
  <si>
    <t>399-C1206C474M5RECAUTOTR-ND</t>
  </si>
  <si>
    <t>399-1206C561K5GAC7800TR-ND</t>
  </si>
  <si>
    <t>100nF 10%</t>
  </si>
  <si>
    <t>470nF 10%</t>
  </si>
  <si>
    <t>560pF 10%</t>
  </si>
  <si>
    <t>100uF 10%</t>
  </si>
  <si>
    <t>Condensateur polarisé 16V</t>
  </si>
  <si>
    <t>Aishi capacitors</t>
  </si>
  <si>
    <t>3222-SVZ1101E06E00RAXXXTR- ND</t>
  </si>
  <si>
    <t>36-5261-ND</t>
  </si>
  <si>
    <t>TP1, TP2</t>
  </si>
  <si>
    <t xml:space="preserve"> Pointe test                  </t>
  </si>
  <si>
    <t>modele 5261</t>
  </si>
  <si>
    <t>keystone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</si>
</sst>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left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9" fontId="3" fillId="0" borderId="5" xfId="2" applyNumberFormat="1" applyFont="1" applyBorder="1" applyAlignment="1">
      <alignment horizontal="center" vertical="center" wrapText="1"/>
    </xf>
    <xf numFmtId="2" fontId="3" fillId="0" borderId="5" xfId="2" applyNumberFormat="1" applyFont="1" applyBorder="1" applyAlignment="1">
      <alignment horizontal="center" vertical="center" wrapText="1"/>
    </xf>
    <xf numFmtId="2" fontId="5" fillId="0" borderId="5" xfId="1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2" fontId="3" fillId="0" borderId="8" xfId="2" applyNumberFormat="1" applyFont="1" applyBorder="1"/>
    <xf numFmtId="0" fontId="3" fillId="0" borderId="5" xfId="2" applyFont="1" applyBorder="1" applyAlignment="1">
      <alignment horizontal="center" vertical="center"/>
    </xf>
    <xf numFmtId="0" fontId="3" fillId="3" borderId="5" xfId="2" applyFont="1" applyFill="1" applyBorder="1" applyAlignment="1">
      <alignment horizontal="center" vertical="center" wrapText="1"/>
    </xf>
    <xf numFmtId="9" fontId="3" fillId="3" borderId="5" xfId="2" applyNumberFormat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2" fontId="5" fillId="3" borderId="5" xfId="1" applyNumberFormat="1" applyFont="1" applyFill="1" applyBorder="1" applyAlignment="1">
      <alignment horizontal="center" vertical="center" wrapText="1"/>
    </xf>
    <xf numFmtId="0" fontId="0" fillId="4" borderId="0" xfId="0" applyFill="1"/>
    <xf numFmtId="11" fontId="3" fillId="0" borderId="5" xfId="2" applyNumberFormat="1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/>
    </xf>
    <xf numFmtId="0" fontId="3" fillId="0" borderId="7" xfId="2" applyFont="1" applyBorder="1" applyAlignment="1">
      <alignment horizontal="center"/>
    </xf>
  </cellXfs>
  <cellStyles count="3">
    <cellStyle name="Normal" xfId="0" builtinId="0"/>
    <cellStyle name="Normal 2" xfId="2"/>
    <cellStyle name="Normal_Nomenclature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Untitled1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pcb bateau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topLeftCell="C15" zoomScale="70" zoomScaleNormal="70" workbookViewId="0">
      <selection activeCell="J36" sqref="J36"/>
    </sheetView>
  </sheetViews>
  <sheetFormatPr baseColWidth="10" defaultRowHeight="15"/>
  <cols>
    <col min="1" max="1" width="8.140625" bestFit="1" customWidth="1"/>
    <col min="2" max="2" width="17.5703125" bestFit="1" customWidth="1"/>
    <col min="3" max="3" width="16.140625" bestFit="1" customWidth="1"/>
    <col min="4" max="5" width="17.140625" bestFit="1" customWidth="1"/>
    <col min="6" max="6" width="15.28515625" bestFit="1" customWidth="1"/>
    <col min="7" max="7" width="21.42578125" customWidth="1"/>
    <col min="9" max="9" width="25" customWidth="1"/>
  </cols>
  <sheetData>
    <row r="1" spans="1:21" ht="25.5">
      <c r="A1" s="1" t="s">
        <v>94</v>
      </c>
      <c r="B1" s="1" t="s">
        <v>95</v>
      </c>
      <c r="C1" s="2" t="s">
        <v>96</v>
      </c>
      <c r="D1" s="3" t="s">
        <v>97</v>
      </c>
      <c r="E1" s="3" t="s">
        <v>98</v>
      </c>
      <c r="F1" s="3" t="s">
        <v>99</v>
      </c>
      <c r="G1" s="3" t="s">
        <v>100</v>
      </c>
      <c r="H1" s="3" t="s">
        <v>101</v>
      </c>
      <c r="I1" s="3" t="s">
        <v>102</v>
      </c>
      <c r="J1" s="3" t="s">
        <v>103</v>
      </c>
      <c r="K1" s="3" t="s">
        <v>104</v>
      </c>
      <c r="L1" s="3" t="s">
        <v>105</v>
      </c>
      <c r="M1" s="4" t="s">
        <v>106</v>
      </c>
      <c r="O1" t="s">
        <v>119</v>
      </c>
      <c r="P1" t="s">
        <v>120</v>
      </c>
      <c r="S1" t="s">
        <v>121</v>
      </c>
    </row>
    <row r="2" spans="1:21">
      <c r="A2" s="5">
        <v>1</v>
      </c>
      <c r="B2" s="6" t="s">
        <v>59</v>
      </c>
      <c r="C2" s="10" t="s">
        <v>133</v>
      </c>
      <c r="D2" s="5" t="s">
        <v>9</v>
      </c>
      <c r="E2" s="7"/>
      <c r="F2" s="10" t="s">
        <v>11</v>
      </c>
      <c r="G2" s="5" t="s">
        <v>149</v>
      </c>
      <c r="H2" s="5" t="s">
        <v>108</v>
      </c>
      <c r="I2" s="5" t="s">
        <v>150</v>
      </c>
      <c r="J2" s="5">
        <v>100</v>
      </c>
      <c r="K2" s="8">
        <v>191.53</v>
      </c>
      <c r="L2" s="8">
        <f>K2/J2</f>
        <v>1.9153</v>
      </c>
      <c r="M2" s="9">
        <f t="shared" ref="M2:M26" si="0">L2*A2</f>
        <v>1.9153</v>
      </c>
    </row>
    <row r="3" spans="1:21" ht="25.5">
      <c r="A3" s="5">
        <v>1</v>
      </c>
      <c r="B3" s="6" t="s">
        <v>62</v>
      </c>
      <c r="C3" s="5" t="s">
        <v>152</v>
      </c>
      <c r="D3" s="5" t="s">
        <v>58</v>
      </c>
      <c r="E3" s="7"/>
      <c r="F3" s="10" t="s">
        <v>60</v>
      </c>
      <c r="G3" s="5" t="s">
        <v>147</v>
      </c>
      <c r="H3" s="5" t="s">
        <v>108</v>
      </c>
      <c r="I3" s="5" t="s">
        <v>146</v>
      </c>
      <c r="J3" s="5">
        <v>100</v>
      </c>
      <c r="K3" s="8">
        <v>173.38</v>
      </c>
      <c r="L3" s="8">
        <f t="shared" ref="L3:L26" si="1">K3/J3</f>
        <v>1.7338</v>
      </c>
      <c r="M3" s="9">
        <f t="shared" si="0"/>
        <v>1.7338</v>
      </c>
      <c r="O3" t="s">
        <v>122</v>
      </c>
      <c r="P3" t="s">
        <v>123</v>
      </c>
      <c r="Q3" t="s">
        <v>124</v>
      </c>
      <c r="R3" t="s">
        <v>123</v>
      </c>
      <c r="S3" t="s">
        <v>123</v>
      </c>
    </row>
    <row r="4" spans="1:21">
      <c r="A4" s="5">
        <v>1</v>
      </c>
      <c r="B4" s="6" t="s">
        <v>36</v>
      </c>
      <c r="C4" s="5" t="s">
        <v>153</v>
      </c>
      <c r="D4" s="5" t="s">
        <v>61</v>
      </c>
      <c r="E4" s="7" t="s">
        <v>151</v>
      </c>
      <c r="F4" s="10" t="s">
        <v>63</v>
      </c>
      <c r="G4" s="5" t="s">
        <v>154</v>
      </c>
      <c r="H4" s="5" t="s">
        <v>108</v>
      </c>
      <c r="I4" s="5" t="s">
        <v>155</v>
      </c>
      <c r="J4" s="5">
        <v>100</v>
      </c>
      <c r="K4" s="8">
        <v>99.74</v>
      </c>
      <c r="L4" s="8">
        <f t="shared" si="1"/>
        <v>0.99739999999999995</v>
      </c>
      <c r="M4" s="9">
        <f t="shared" si="0"/>
        <v>0.99739999999999995</v>
      </c>
    </row>
    <row r="5" spans="1:21" ht="25.5">
      <c r="A5" s="5">
        <v>1</v>
      </c>
      <c r="B5" s="6" t="s">
        <v>10</v>
      </c>
      <c r="C5" s="5" t="s">
        <v>135</v>
      </c>
      <c r="D5" s="5" t="s">
        <v>129</v>
      </c>
      <c r="E5" s="7"/>
      <c r="F5" s="10" t="s">
        <v>130</v>
      </c>
      <c r="G5" s="5" t="s">
        <v>156</v>
      </c>
      <c r="H5" s="5" t="s">
        <v>157</v>
      </c>
      <c r="I5" s="5" t="s">
        <v>158</v>
      </c>
      <c r="J5" s="5">
        <v>1</v>
      </c>
      <c r="K5" s="8">
        <v>15.95</v>
      </c>
      <c r="L5" s="8">
        <f t="shared" si="1"/>
        <v>15.95</v>
      </c>
      <c r="M5" s="9">
        <f t="shared" si="0"/>
        <v>15.95</v>
      </c>
      <c r="O5" t="s">
        <v>0</v>
      </c>
      <c r="P5" t="s">
        <v>1</v>
      </c>
      <c r="Q5" t="s">
        <v>2</v>
      </c>
      <c r="R5" t="s">
        <v>3</v>
      </c>
      <c r="S5" t="s">
        <v>4</v>
      </c>
      <c r="T5" t="s">
        <v>5</v>
      </c>
      <c r="U5" t="s">
        <v>6</v>
      </c>
    </row>
    <row r="6" spans="1:21" ht="25.5">
      <c r="A6" s="5">
        <v>1</v>
      </c>
      <c r="B6" s="6" t="s">
        <v>93</v>
      </c>
      <c r="C6" s="5" t="s">
        <v>160</v>
      </c>
      <c r="D6" s="5" t="s">
        <v>35</v>
      </c>
      <c r="E6" s="7" t="s">
        <v>161</v>
      </c>
      <c r="F6" s="10" t="s">
        <v>37</v>
      </c>
      <c r="G6" s="5" t="s">
        <v>162</v>
      </c>
      <c r="H6" s="5" t="s">
        <v>108</v>
      </c>
      <c r="I6" s="5" t="s">
        <v>163</v>
      </c>
      <c r="J6" s="5">
        <v>1</v>
      </c>
      <c r="K6" s="8">
        <v>1.79</v>
      </c>
      <c r="L6" s="8">
        <f t="shared" si="1"/>
        <v>1.79</v>
      </c>
      <c r="M6" s="9">
        <f t="shared" si="0"/>
        <v>1.79</v>
      </c>
      <c r="O6" t="s">
        <v>7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</row>
    <row r="7" spans="1:21">
      <c r="A7" s="5">
        <v>1</v>
      </c>
      <c r="B7" s="6" t="s">
        <v>132</v>
      </c>
      <c r="C7" s="5" t="s">
        <v>134</v>
      </c>
      <c r="D7" s="5" t="s">
        <v>92</v>
      </c>
      <c r="E7" s="7"/>
      <c r="F7" s="10" t="s">
        <v>63</v>
      </c>
      <c r="G7" s="5" t="s">
        <v>164</v>
      </c>
      <c r="H7" s="5" t="s">
        <v>108</v>
      </c>
      <c r="I7" s="5" t="s">
        <v>165</v>
      </c>
      <c r="J7" s="5">
        <v>1000</v>
      </c>
      <c r="K7" s="8">
        <v>313.23</v>
      </c>
      <c r="L7" s="8">
        <f t="shared" si="1"/>
        <v>0.31323000000000001</v>
      </c>
      <c r="M7" s="9">
        <f t="shared" si="0"/>
        <v>0.31323000000000001</v>
      </c>
    </row>
    <row r="8" spans="1:21" ht="25.5">
      <c r="A8" s="5">
        <v>1</v>
      </c>
      <c r="B8" s="6" t="s">
        <v>46</v>
      </c>
      <c r="C8" s="5"/>
      <c r="D8" s="5" t="s">
        <v>45</v>
      </c>
      <c r="E8" s="7">
        <v>0.1</v>
      </c>
      <c r="F8" s="10" t="s">
        <v>47</v>
      </c>
      <c r="G8" s="5" t="s">
        <v>107</v>
      </c>
      <c r="H8" s="5" t="s">
        <v>108</v>
      </c>
      <c r="I8" s="5"/>
      <c r="J8" s="5">
        <v>2000</v>
      </c>
      <c r="K8" s="8">
        <v>34.31</v>
      </c>
      <c r="L8" s="8">
        <f t="shared" ref="L8" si="2">K8/J8</f>
        <v>1.7155E-2</v>
      </c>
      <c r="M8" s="9">
        <f t="shared" ref="M8" si="3">L8*A8</f>
        <v>1.7155E-2</v>
      </c>
      <c r="O8" s="17">
        <v>1</v>
      </c>
      <c r="P8" s="17" t="s">
        <v>9</v>
      </c>
      <c r="Q8" s="17" t="s">
        <v>59</v>
      </c>
      <c r="R8" s="17" t="s">
        <v>11</v>
      </c>
      <c r="S8" s="17"/>
      <c r="T8" s="17" t="s">
        <v>12</v>
      </c>
      <c r="U8" s="17"/>
    </row>
    <row r="9" spans="1:21">
      <c r="A9" s="5">
        <v>1</v>
      </c>
      <c r="B9" s="6" t="s">
        <v>42</v>
      </c>
      <c r="C9" s="5" t="s">
        <v>168</v>
      </c>
      <c r="D9" s="5" t="s">
        <v>41</v>
      </c>
      <c r="E9" s="7" t="s">
        <v>44</v>
      </c>
      <c r="F9" s="10" t="s">
        <v>43</v>
      </c>
      <c r="G9" s="5" t="s">
        <v>166</v>
      </c>
      <c r="H9" s="5" t="s">
        <v>108</v>
      </c>
      <c r="I9" s="5" t="s">
        <v>167</v>
      </c>
      <c r="J9" s="5">
        <v>100</v>
      </c>
      <c r="K9" s="8">
        <v>26.77</v>
      </c>
      <c r="L9" s="8">
        <f t="shared" si="1"/>
        <v>0.26769999999999999</v>
      </c>
      <c r="M9" s="9">
        <f t="shared" si="0"/>
        <v>0.26769999999999999</v>
      </c>
      <c r="O9" s="17">
        <v>1</v>
      </c>
      <c r="P9" s="17" t="s">
        <v>9</v>
      </c>
      <c r="Q9" s="17" t="s">
        <v>59</v>
      </c>
      <c r="R9" s="17" t="s">
        <v>11</v>
      </c>
      <c r="S9" s="17"/>
      <c r="T9" s="17" t="s">
        <v>12</v>
      </c>
      <c r="U9" s="17"/>
    </row>
    <row r="10" spans="1:21" ht="25.5">
      <c r="A10" s="5">
        <v>1</v>
      </c>
      <c r="B10" s="6" t="s">
        <v>87</v>
      </c>
      <c r="C10" s="5" t="s">
        <v>169</v>
      </c>
      <c r="D10" s="5" t="s">
        <v>39</v>
      </c>
      <c r="E10" s="7"/>
      <c r="F10" s="10" t="s">
        <v>170</v>
      </c>
      <c r="G10" s="5" t="s">
        <v>171</v>
      </c>
      <c r="H10" s="5" t="s">
        <v>108</v>
      </c>
      <c r="I10" s="5" t="s">
        <v>172</v>
      </c>
      <c r="J10" s="5">
        <v>1000</v>
      </c>
      <c r="K10" s="8">
        <v>282.62</v>
      </c>
      <c r="L10" s="8">
        <f t="shared" si="1"/>
        <v>0.28261999999999998</v>
      </c>
      <c r="M10" s="9">
        <f t="shared" si="0"/>
        <v>0.28261999999999998</v>
      </c>
      <c r="O10" s="17">
        <v>4</v>
      </c>
      <c r="P10" s="17" t="s">
        <v>13</v>
      </c>
      <c r="Q10" s="17" t="s">
        <v>14</v>
      </c>
      <c r="R10" s="17" t="s">
        <v>15</v>
      </c>
      <c r="S10" s="17" t="s">
        <v>16</v>
      </c>
      <c r="T10" s="17" t="s">
        <v>12</v>
      </c>
      <c r="U10" s="17" t="s">
        <v>17</v>
      </c>
    </row>
    <row r="11" spans="1:21" ht="25.5">
      <c r="A11" s="5">
        <v>1</v>
      </c>
      <c r="B11" s="6" t="s">
        <v>40</v>
      </c>
      <c r="C11" s="5" t="s">
        <v>136</v>
      </c>
      <c r="D11" s="5" t="s">
        <v>86</v>
      </c>
      <c r="E11" s="7">
        <v>0.1</v>
      </c>
      <c r="F11" s="10" t="s">
        <v>88</v>
      </c>
      <c r="G11" s="5" t="s">
        <v>107</v>
      </c>
      <c r="H11" s="5" t="s">
        <v>108</v>
      </c>
      <c r="I11" s="5"/>
      <c r="J11" s="5">
        <v>100</v>
      </c>
      <c r="K11" s="8">
        <v>56.45</v>
      </c>
      <c r="L11" s="8">
        <f t="shared" si="1"/>
        <v>0.5645</v>
      </c>
      <c r="M11" s="9">
        <f t="shared" si="0"/>
        <v>0.5645</v>
      </c>
      <c r="O11" s="17"/>
      <c r="P11" s="17"/>
      <c r="Q11" s="17" t="s">
        <v>18</v>
      </c>
      <c r="R11" s="17"/>
      <c r="S11" s="17"/>
      <c r="T11" s="17"/>
      <c r="U11" s="17"/>
    </row>
    <row r="12" spans="1:21" ht="25.5">
      <c r="A12" s="5">
        <v>2</v>
      </c>
      <c r="B12" s="6" t="s">
        <v>110</v>
      </c>
      <c r="C12" s="5" t="s">
        <v>137</v>
      </c>
      <c r="D12" s="10" t="s">
        <v>64</v>
      </c>
      <c r="E12" s="7" t="s">
        <v>173</v>
      </c>
      <c r="F12" s="10" t="s">
        <v>174</v>
      </c>
      <c r="G12" s="5" t="s">
        <v>175</v>
      </c>
      <c r="H12" s="5" t="s">
        <v>108</v>
      </c>
      <c r="I12" s="5" t="s">
        <v>176</v>
      </c>
      <c r="J12" s="5">
        <v>1000</v>
      </c>
      <c r="K12" s="8">
        <v>149.94999999999999</v>
      </c>
      <c r="L12" s="8">
        <f t="shared" si="1"/>
        <v>0.14995</v>
      </c>
      <c r="M12" s="9">
        <f t="shared" si="0"/>
        <v>0.2999</v>
      </c>
      <c r="O12" s="17"/>
      <c r="P12" s="17"/>
      <c r="Q12" s="17" t="s">
        <v>21</v>
      </c>
      <c r="R12" s="17"/>
      <c r="S12" s="17"/>
      <c r="T12" s="17"/>
      <c r="U12" s="17"/>
    </row>
    <row r="13" spans="1:21">
      <c r="A13" s="5">
        <v>4</v>
      </c>
      <c r="B13" s="6" t="s">
        <v>138</v>
      </c>
      <c r="C13" s="5" t="s">
        <v>180</v>
      </c>
      <c r="D13" s="10" t="s">
        <v>177</v>
      </c>
      <c r="E13" s="7"/>
      <c r="F13" s="10" t="s">
        <v>50</v>
      </c>
      <c r="G13" s="5" t="s">
        <v>178</v>
      </c>
      <c r="H13" s="5" t="s">
        <v>108</v>
      </c>
      <c r="I13" s="5" t="s">
        <v>179</v>
      </c>
      <c r="J13" s="5">
        <v>3000</v>
      </c>
      <c r="K13" s="8">
        <v>21.84</v>
      </c>
      <c r="L13" s="8">
        <f t="shared" si="1"/>
        <v>7.28E-3</v>
      </c>
      <c r="M13" s="9">
        <f t="shared" si="0"/>
        <v>2.912E-2</v>
      </c>
      <c r="O13" s="17">
        <v>4</v>
      </c>
      <c r="P13" s="17" t="s">
        <v>13</v>
      </c>
      <c r="Q13" s="17" t="s">
        <v>33</v>
      </c>
      <c r="R13" s="17" t="s">
        <v>15</v>
      </c>
      <c r="S13" s="17" t="s">
        <v>20</v>
      </c>
      <c r="T13" s="17" t="s">
        <v>12</v>
      </c>
      <c r="U13" s="17" t="s">
        <v>17</v>
      </c>
    </row>
    <row r="14" spans="1:21" ht="25.5">
      <c r="A14" s="5">
        <v>1</v>
      </c>
      <c r="B14" s="6" t="s">
        <v>52</v>
      </c>
      <c r="C14" s="5" t="s">
        <v>181</v>
      </c>
      <c r="D14" s="10" t="s">
        <v>89</v>
      </c>
      <c r="E14" s="7"/>
      <c r="F14" s="10" t="s">
        <v>91</v>
      </c>
      <c r="G14" s="5" t="s">
        <v>182</v>
      </c>
      <c r="H14" s="5" t="s">
        <v>108</v>
      </c>
      <c r="I14" s="5" t="s">
        <v>183</v>
      </c>
      <c r="J14" s="5">
        <v>1000</v>
      </c>
      <c r="K14" s="8">
        <v>61.07</v>
      </c>
      <c r="L14" s="8">
        <f t="shared" si="1"/>
        <v>6.1069999999999999E-2</v>
      </c>
      <c r="M14" s="9">
        <f t="shared" si="0"/>
        <v>6.1069999999999999E-2</v>
      </c>
      <c r="O14" s="17"/>
      <c r="P14" s="17"/>
      <c r="Q14" s="17" t="s">
        <v>34</v>
      </c>
      <c r="R14" s="17"/>
      <c r="S14" s="17"/>
      <c r="T14" s="17"/>
      <c r="U14" s="17"/>
    </row>
    <row r="15" spans="1:21" ht="25.5">
      <c r="A15" s="5">
        <v>1</v>
      </c>
      <c r="B15" s="6" t="s">
        <v>56</v>
      </c>
      <c r="C15" s="5" t="s">
        <v>184</v>
      </c>
      <c r="D15" s="10" t="s">
        <v>55</v>
      </c>
      <c r="E15" s="7"/>
      <c r="F15" s="10" t="s">
        <v>57</v>
      </c>
      <c r="G15" s="5" t="s">
        <v>185</v>
      </c>
      <c r="H15" s="5" t="s">
        <v>108</v>
      </c>
      <c r="I15" s="5" t="s">
        <v>186</v>
      </c>
      <c r="J15" s="5">
        <v>1000</v>
      </c>
      <c r="K15" s="8">
        <v>213.68</v>
      </c>
      <c r="L15" s="8">
        <f t="shared" si="1"/>
        <v>0.21368000000000001</v>
      </c>
      <c r="M15" s="9">
        <f t="shared" si="0"/>
        <v>0.21368000000000001</v>
      </c>
      <c r="O15" s="17"/>
      <c r="P15" s="17"/>
      <c r="Q15" s="17" t="s">
        <v>22</v>
      </c>
      <c r="R15" s="17"/>
      <c r="S15" s="17"/>
      <c r="T15" s="17"/>
      <c r="U15" s="17"/>
    </row>
    <row r="16" spans="1:21">
      <c r="A16" s="5">
        <v>1</v>
      </c>
      <c r="B16" s="6" t="s">
        <v>77</v>
      </c>
      <c r="C16" s="5" t="s">
        <v>139</v>
      </c>
      <c r="D16" s="10" t="s">
        <v>70</v>
      </c>
      <c r="E16" s="7" t="s">
        <v>187</v>
      </c>
      <c r="F16" s="10" t="s">
        <v>50</v>
      </c>
      <c r="G16" s="5" t="s">
        <v>188</v>
      </c>
      <c r="H16" s="5" t="s">
        <v>189</v>
      </c>
      <c r="I16" s="5" t="s">
        <v>190</v>
      </c>
      <c r="J16" s="5">
        <v>1000</v>
      </c>
      <c r="K16" s="8">
        <v>11.67</v>
      </c>
      <c r="L16" s="8">
        <f t="shared" si="1"/>
        <v>1.167E-2</v>
      </c>
      <c r="M16" s="9">
        <f t="shared" si="0"/>
        <v>1.167E-2</v>
      </c>
      <c r="O16" s="17"/>
      <c r="P16" s="17"/>
      <c r="Q16" s="17" t="s">
        <v>23</v>
      </c>
      <c r="R16" s="17"/>
      <c r="S16" s="17"/>
      <c r="T16" s="17"/>
      <c r="U16" s="17"/>
    </row>
    <row r="17" spans="1:21">
      <c r="A17" s="5">
        <v>2</v>
      </c>
      <c r="B17" s="6" t="s">
        <v>140</v>
      </c>
      <c r="C17" s="5" t="s">
        <v>139</v>
      </c>
      <c r="D17" s="10" t="s">
        <v>70</v>
      </c>
      <c r="E17" s="7" t="s">
        <v>191</v>
      </c>
      <c r="F17" s="10" t="s">
        <v>50</v>
      </c>
      <c r="G17" s="5" t="s">
        <v>188</v>
      </c>
      <c r="H17" s="5" t="s">
        <v>108</v>
      </c>
      <c r="I17" s="5" t="s">
        <v>192</v>
      </c>
      <c r="J17" s="5">
        <v>1000</v>
      </c>
      <c r="K17" s="8">
        <v>9.7200000000000006</v>
      </c>
      <c r="L17" s="8">
        <f t="shared" si="1"/>
        <v>9.7200000000000012E-3</v>
      </c>
      <c r="M17" s="9">
        <f t="shared" si="0"/>
        <v>1.9440000000000002E-2</v>
      </c>
      <c r="O17" s="17">
        <v>1</v>
      </c>
      <c r="P17" s="17" t="s">
        <v>13</v>
      </c>
      <c r="Q17" s="17" t="s">
        <v>19</v>
      </c>
      <c r="R17" s="17" t="s">
        <v>15</v>
      </c>
      <c r="S17" s="17" t="s">
        <v>25</v>
      </c>
      <c r="T17" s="17" t="s">
        <v>12</v>
      </c>
      <c r="U17" s="17" t="s">
        <v>17</v>
      </c>
    </row>
    <row r="18" spans="1:21">
      <c r="A18" s="5">
        <v>1</v>
      </c>
      <c r="B18" s="6" t="s">
        <v>81</v>
      </c>
      <c r="C18" s="5" t="s">
        <v>139</v>
      </c>
      <c r="D18" s="10" t="s">
        <v>70</v>
      </c>
      <c r="E18" s="18" t="s">
        <v>193</v>
      </c>
      <c r="F18" s="10" t="s">
        <v>50</v>
      </c>
      <c r="G18" s="5" t="s">
        <v>188</v>
      </c>
      <c r="H18" s="5" t="s">
        <v>108</v>
      </c>
      <c r="I18" s="5" t="s">
        <v>194</v>
      </c>
      <c r="J18" s="5">
        <v>1000</v>
      </c>
      <c r="K18" s="8">
        <v>9.7200000000000006</v>
      </c>
      <c r="L18" s="8">
        <f t="shared" si="1"/>
        <v>9.7200000000000012E-3</v>
      </c>
      <c r="M18" s="9">
        <f t="shared" si="0"/>
        <v>9.7200000000000012E-3</v>
      </c>
      <c r="O18" s="17">
        <v>2</v>
      </c>
      <c r="P18" s="17" t="s">
        <v>13</v>
      </c>
      <c r="Q18" s="17" t="s">
        <v>26</v>
      </c>
      <c r="R18" s="17" t="s">
        <v>15</v>
      </c>
      <c r="S18" s="17" t="s">
        <v>27</v>
      </c>
      <c r="T18" s="17" t="s">
        <v>12</v>
      </c>
      <c r="U18" s="17" t="s">
        <v>17</v>
      </c>
    </row>
    <row r="19" spans="1:21">
      <c r="A19" s="5">
        <v>4</v>
      </c>
      <c r="B19" s="6" t="s">
        <v>141</v>
      </c>
      <c r="C19" s="5" t="s">
        <v>139</v>
      </c>
      <c r="D19" s="10" t="s">
        <v>70</v>
      </c>
      <c r="E19" s="7" t="s">
        <v>195</v>
      </c>
      <c r="F19" s="10" t="s">
        <v>50</v>
      </c>
      <c r="G19" s="5" t="s">
        <v>188</v>
      </c>
      <c r="H19" s="5" t="s">
        <v>108</v>
      </c>
      <c r="I19" s="5" t="s">
        <v>196</v>
      </c>
      <c r="J19" s="5">
        <v>1000</v>
      </c>
      <c r="K19" s="8">
        <v>10.67</v>
      </c>
      <c r="L19" s="8">
        <f t="shared" si="1"/>
        <v>1.0670000000000001E-2</v>
      </c>
      <c r="M19" s="9">
        <f t="shared" si="0"/>
        <v>4.2680000000000003E-2</v>
      </c>
      <c r="O19" s="17"/>
      <c r="P19" s="17"/>
      <c r="Q19" s="17" t="s">
        <v>28</v>
      </c>
      <c r="R19" s="17"/>
      <c r="S19" s="17"/>
      <c r="T19" s="17"/>
      <c r="U19" s="17"/>
    </row>
    <row r="20" spans="1:21">
      <c r="A20" s="5">
        <v>1</v>
      </c>
      <c r="B20" s="6" t="s">
        <v>83</v>
      </c>
      <c r="C20" s="5" t="s">
        <v>139</v>
      </c>
      <c r="D20" s="10" t="s">
        <v>70</v>
      </c>
      <c r="E20" s="7" t="s">
        <v>198</v>
      </c>
      <c r="F20" s="10" t="s">
        <v>50</v>
      </c>
      <c r="G20" s="5" t="s">
        <v>188</v>
      </c>
      <c r="H20" s="5" t="s">
        <v>108</v>
      </c>
      <c r="I20" s="5" t="s">
        <v>197</v>
      </c>
      <c r="J20" s="5">
        <v>1000</v>
      </c>
      <c r="K20" s="8">
        <v>8.75</v>
      </c>
      <c r="L20" s="8">
        <f t="shared" ref="L20" si="4">K20/J20</f>
        <v>8.7500000000000008E-3</v>
      </c>
      <c r="M20" s="9">
        <f t="shared" ref="M20" si="5">L20*A20</f>
        <v>8.7500000000000008E-3</v>
      </c>
      <c r="O20">
        <v>3</v>
      </c>
      <c r="P20" t="s">
        <v>29</v>
      </c>
      <c r="Q20" t="s">
        <v>148</v>
      </c>
      <c r="R20" t="s">
        <v>31</v>
      </c>
      <c r="S20" t="s">
        <v>32</v>
      </c>
      <c r="T20" t="s">
        <v>12</v>
      </c>
      <c r="U20" t="s">
        <v>17</v>
      </c>
    </row>
    <row r="21" spans="1:21">
      <c r="A21" s="5">
        <v>2</v>
      </c>
      <c r="B21" s="6" t="s">
        <v>142</v>
      </c>
      <c r="C21" s="5" t="s">
        <v>199</v>
      </c>
      <c r="D21" s="10" t="s">
        <v>82</v>
      </c>
      <c r="E21" s="7" t="s">
        <v>200</v>
      </c>
      <c r="F21" s="10" t="s">
        <v>84</v>
      </c>
      <c r="G21" s="5" t="s">
        <v>201</v>
      </c>
      <c r="H21" s="5" t="s">
        <v>108</v>
      </c>
      <c r="I21" s="5" t="s">
        <v>202</v>
      </c>
      <c r="J21" s="5">
        <v>1000</v>
      </c>
      <c r="K21" s="8">
        <v>41.38</v>
      </c>
      <c r="L21" s="8">
        <f t="shared" si="1"/>
        <v>4.138E-2</v>
      </c>
      <c r="M21" s="9">
        <f t="shared" si="0"/>
        <v>8.276E-2</v>
      </c>
      <c r="O21">
        <v>3</v>
      </c>
      <c r="P21" t="s">
        <v>29</v>
      </c>
      <c r="Q21" t="s">
        <v>30</v>
      </c>
      <c r="R21" t="s">
        <v>31</v>
      </c>
      <c r="S21" t="s">
        <v>32</v>
      </c>
      <c r="T21" t="s">
        <v>12</v>
      </c>
      <c r="U21" t="s">
        <v>17</v>
      </c>
    </row>
    <row r="22" spans="1:21" ht="38.25">
      <c r="A22" s="5">
        <v>3</v>
      </c>
      <c r="B22" s="6" t="s">
        <v>143</v>
      </c>
      <c r="C22" s="5" t="s">
        <v>109</v>
      </c>
      <c r="D22" s="5" t="s">
        <v>13</v>
      </c>
      <c r="E22" s="7" t="s">
        <v>203</v>
      </c>
      <c r="F22" s="5" t="s">
        <v>15</v>
      </c>
      <c r="G22" s="5" t="s">
        <v>204</v>
      </c>
      <c r="H22" s="5" t="s">
        <v>108</v>
      </c>
      <c r="I22" s="5" t="s">
        <v>205</v>
      </c>
      <c r="J22" s="5">
        <v>1000</v>
      </c>
      <c r="K22" s="8">
        <v>32.69</v>
      </c>
      <c r="L22" s="8">
        <f t="shared" si="1"/>
        <v>3.2689999999999997E-2</v>
      </c>
      <c r="M22" s="9">
        <f t="shared" si="0"/>
        <v>9.8069999999999991E-2</v>
      </c>
      <c r="Q22" t="s">
        <v>24</v>
      </c>
    </row>
    <row r="23" spans="1:21" ht="38.25">
      <c r="A23" s="5">
        <v>4</v>
      </c>
      <c r="B23" s="6" t="s">
        <v>144</v>
      </c>
      <c r="C23" s="5" t="s">
        <v>109</v>
      </c>
      <c r="D23" s="5" t="s">
        <v>13</v>
      </c>
      <c r="E23" s="7" t="s">
        <v>209</v>
      </c>
      <c r="F23" s="5" t="s">
        <v>15</v>
      </c>
      <c r="G23" s="5" t="s">
        <v>204</v>
      </c>
      <c r="H23" s="5" t="s">
        <v>108</v>
      </c>
      <c r="I23" s="5" t="s">
        <v>206</v>
      </c>
      <c r="J23" s="5">
        <v>1000</v>
      </c>
      <c r="K23" s="8">
        <v>55.09</v>
      </c>
      <c r="L23" s="8">
        <f t="shared" si="1"/>
        <v>5.509E-2</v>
      </c>
      <c r="M23" s="9">
        <f t="shared" si="0"/>
        <v>0.22036</v>
      </c>
      <c r="Q23" t="s">
        <v>125</v>
      </c>
    </row>
    <row r="24" spans="1:21" ht="38.25">
      <c r="A24" s="5">
        <v>1</v>
      </c>
      <c r="B24" s="6" t="s">
        <v>19</v>
      </c>
      <c r="C24" s="5" t="s">
        <v>109</v>
      </c>
      <c r="D24" s="5" t="s">
        <v>13</v>
      </c>
      <c r="E24" s="7" t="s">
        <v>210</v>
      </c>
      <c r="F24" s="5" t="s">
        <v>15</v>
      </c>
      <c r="G24" s="5" t="s">
        <v>204</v>
      </c>
      <c r="H24" s="5" t="s">
        <v>108</v>
      </c>
      <c r="I24" s="5" t="s">
        <v>207</v>
      </c>
      <c r="J24" s="5">
        <v>1000</v>
      </c>
      <c r="K24" s="8">
        <v>89.66</v>
      </c>
      <c r="L24" s="8">
        <f t="shared" si="1"/>
        <v>8.965999999999999E-2</v>
      </c>
      <c r="M24" s="9">
        <f t="shared" si="0"/>
        <v>8.965999999999999E-2</v>
      </c>
      <c r="O24" s="17">
        <v>1</v>
      </c>
      <c r="P24" s="17" t="s">
        <v>35</v>
      </c>
      <c r="Q24" s="17" t="s">
        <v>93</v>
      </c>
      <c r="R24" s="17" t="s">
        <v>37</v>
      </c>
      <c r="S24" s="17" t="s">
        <v>38</v>
      </c>
      <c r="T24" s="17" t="s">
        <v>12</v>
      </c>
      <c r="U24" s="17"/>
    </row>
    <row r="25" spans="1:21" ht="38.25">
      <c r="A25" s="5">
        <v>2</v>
      </c>
      <c r="B25" s="6" t="s">
        <v>111</v>
      </c>
      <c r="C25" s="5" t="s">
        <v>109</v>
      </c>
      <c r="D25" s="5" t="s">
        <v>13</v>
      </c>
      <c r="E25" s="7" t="s">
        <v>211</v>
      </c>
      <c r="F25" s="10" t="s">
        <v>15</v>
      </c>
      <c r="G25" s="5" t="s">
        <v>204</v>
      </c>
      <c r="H25" s="5" t="s">
        <v>108</v>
      </c>
      <c r="I25" s="5" t="s">
        <v>208</v>
      </c>
      <c r="J25" s="5">
        <v>1000</v>
      </c>
      <c r="K25" s="8">
        <v>103.09</v>
      </c>
      <c r="L25" s="8">
        <f t="shared" si="1"/>
        <v>0.10309</v>
      </c>
      <c r="M25" s="9">
        <f t="shared" si="0"/>
        <v>0.20618</v>
      </c>
      <c r="O25" s="17">
        <v>1</v>
      </c>
      <c r="P25" s="17" t="s">
        <v>39</v>
      </c>
      <c r="Q25" s="17" t="s">
        <v>87</v>
      </c>
      <c r="R25" s="17" t="s">
        <v>39</v>
      </c>
      <c r="S25" s="17"/>
      <c r="T25" s="17" t="s">
        <v>12</v>
      </c>
      <c r="U25" s="17"/>
    </row>
    <row r="26" spans="1:21" ht="38.25">
      <c r="A26" s="5">
        <v>3</v>
      </c>
      <c r="B26" s="6" t="s">
        <v>145</v>
      </c>
      <c r="C26" s="5" t="s">
        <v>213</v>
      </c>
      <c r="D26" s="5" t="s">
        <v>29</v>
      </c>
      <c r="E26" s="7" t="s">
        <v>212</v>
      </c>
      <c r="F26" s="10" t="s">
        <v>31</v>
      </c>
      <c r="G26" s="5" t="s">
        <v>214</v>
      </c>
      <c r="H26" s="5" t="s">
        <v>108</v>
      </c>
      <c r="I26" s="5" t="s">
        <v>215</v>
      </c>
      <c r="J26" s="5">
        <v>1000</v>
      </c>
      <c r="K26" s="8">
        <v>118.34</v>
      </c>
      <c r="L26" s="8">
        <f t="shared" si="1"/>
        <v>0.11834</v>
      </c>
      <c r="M26" s="9">
        <f t="shared" si="0"/>
        <v>0.35502</v>
      </c>
      <c r="O26" s="17">
        <v>1</v>
      </c>
      <c r="P26" s="17" t="s">
        <v>41</v>
      </c>
      <c r="Q26" s="17" t="s">
        <v>42</v>
      </c>
      <c r="R26" s="17" t="s">
        <v>43</v>
      </c>
      <c r="S26" s="17" t="s">
        <v>44</v>
      </c>
      <c r="T26" s="17" t="s">
        <v>12</v>
      </c>
      <c r="U26" s="17"/>
    </row>
    <row r="27" spans="1:21">
      <c r="A27" s="5">
        <v>2</v>
      </c>
      <c r="B27" s="6" t="s">
        <v>217</v>
      </c>
      <c r="C27" s="5" t="s">
        <v>218</v>
      </c>
      <c r="D27" s="5" t="s">
        <v>219</v>
      </c>
      <c r="E27" s="7"/>
      <c r="F27" s="10"/>
      <c r="G27" s="5" t="s">
        <v>220</v>
      </c>
      <c r="H27" s="5" t="s">
        <v>108</v>
      </c>
      <c r="I27" s="5" t="s">
        <v>216</v>
      </c>
      <c r="J27" s="5">
        <v>1000</v>
      </c>
      <c r="K27" s="8">
        <v>139.01</v>
      </c>
      <c r="L27" s="8">
        <f t="shared" ref="L27" si="6">K27/J27</f>
        <v>0.13900999999999999</v>
      </c>
      <c r="M27" s="9">
        <f t="shared" ref="M27" si="7">L27*A27</f>
        <v>0.27801999999999999</v>
      </c>
      <c r="O27" s="17">
        <v>1</v>
      </c>
      <c r="P27" s="17" t="s">
        <v>41</v>
      </c>
      <c r="Q27" s="17" t="s">
        <v>42</v>
      </c>
      <c r="R27" s="17" t="s">
        <v>43</v>
      </c>
      <c r="S27" s="17" t="s">
        <v>44</v>
      </c>
      <c r="T27" s="17" t="s">
        <v>12</v>
      </c>
      <c r="U27" s="17"/>
    </row>
    <row r="28" spans="1:21">
      <c r="A28" s="12">
        <v>1</v>
      </c>
      <c r="B28" s="12"/>
      <c r="C28" s="12" t="s">
        <v>99</v>
      </c>
      <c r="D28" s="12" t="s">
        <v>113</v>
      </c>
      <c r="E28" s="12"/>
      <c r="F28" s="12" t="s">
        <v>114</v>
      </c>
      <c r="G28" s="12" t="s">
        <v>115</v>
      </c>
      <c r="H28" s="12" t="s">
        <v>116</v>
      </c>
      <c r="I28" s="12" t="s">
        <v>113</v>
      </c>
      <c r="J28" s="12">
        <v>1</v>
      </c>
      <c r="K28" s="12">
        <v>5</v>
      </c>
      <c r="L28" s="12">
        <f t="shared" ref="L28" si="8">K28/J28</f>
        <v>5</v>
      </c>
      <c r="M28" s="12">
        <f t="shared" ref="M28" si="9">L28*A28</f>
        <v>5</v>
      </c>
      <c r="O28" s="17">
        <v>1</v>
      </c>
      <c r="P28" s="17" t="s">
        <v>45</v>
      </c>
      <c r="Q28" s="17" t="s">
        <v>46</v>
      </c>
      <c r="R28" s="17" t="s">
        <v>47</v>
      </c>
      <c r="S28" s="17"/>
      <c r="T28" s="17" t="s">
        <v>12</v>
      </c>
      <c r="U28" s="17"/>
    </row>
    <row r="29" spans="1:21" ht="25.5">
      <c r="A29" s="13">
        <v>1</v>
      </c>
      <c r="B29" s="13"/>
      <c r="C29" s="13" t="s">
        <v>117</v>
      </c>
      <c r="D29" s="13"/>
      <c r="E29" s="13"/>
      <c r="F29" s="14"/>
      <c r="G29" s="13"/>
      <c r="H29" s="15" t="s">
        <v>118</v>
      </c>
      <c r="I29" s="15"/>
      <c r="J29" s="15">
        <v>5</v>
      </c>
      <c r="K29" s="16">
        <v>37.5</v>
      </c>
      <c r="L29" s="16">
        <f>K29/J29</f>
        <v>7.5</v>
      </c>
      <c r="M29" s="16">
        <f>L29*A29</f>
        <v>7.5</v>
      </c>
      <c r="O29" s="17">
        <v>1</v>
      </c>
      <c r="P29" s="17" t="s">
        <v>48</v>
      </c>
      <c r="Q29" s="17" t="s">
        <v>53</v>
      </c>
      <c r="R29" s="17" t="s">
        <v>50</v>
      </c>
      <c r="S29" s="17" t="s">
        <v>126</v>
      </c>
      <c r="T29" s="17" t="s">
        <v>12</v>
      </c>
      <c r="U29" s="17"/>
    </row>
    <row r="30" spans="1:21" ht="15.75" thickBot="1">
      <c r="K30" s="19" t="s">
        <v>112</v>
      </c>
      <c r="L30" s="20"/>
      <c r="M30" s="11">
        <f>M2+M3+M4+M5+M6+M7+M8+M9+M10+M11+M12+M13+M14+M15+M16+M17+M18+M19+M20+M21+M22+M23+M24+M25+M26+M27+M28+M29</f>
        <v>38.357804999999999</v>
      </c>
      <c r="O30" s="17">
        <v>1</v>
      </c>
      <c r="P30" s="17" t="s">
        <v>48</v>
      </c>
      <c r="Q30" s="17" t="s">
        <v>49</v>
      </c>
      <c r="R30" s="17" t="s">
        <v>50</v>
      </c>
      <c r="S30" s="17" t="s">
        <v>127</v>
      </c>
      <c r="T30" s="17" t="s">
        <v>12</v>
      </c>
      <c r="U30" s="17"/>
    </row>
    <row r="31" spans="1:21">
      <c r="M31" t="s">
        <v>159</v>
      </c>
      <c r="O31" s="17">
        <v>1</v>
      </c>
      <c r="P31" s="17" t="s">
        <v>48</v>
      </c>
      <c r="Q31" s="17" t="s">
        <v>51</v>
      </c>
      <c r="R31" s="17" t="s">
        <v>50</v>
      </c>
      <c r="S31" s="17" t="s">
        <v>128</v>
      </c>
      <c r="T31" s="17" t="s">
        <v>12</v>
      </c>
      <c r="U31" s="17"/>
    </row>
    <row r="32" spans="1:21">
      <c r="O32" s="17">
        <v>1</v>
      </c>
      <c r="P32" s="17" t="s">
        <v>48</v>
      </c>
      <c r="Q32" s="17" t="s">
        <v>90</v>
      </c>
      <c r="R32" s="17" t="s">
        <v>50</v>
      </c>
      <c r="S32" s="17" t="s">
        <v>54</v>
      </c>
      <c r="T32" s="17" t="s">
        <v>12</v>
      </c>
      <c r="U32" s="17"/>
    </row>
    <row r="33" spans="15:21">
      <c r="O33" s="17">
        <v>1</v>
      </c>
      <c r="P33" s="17" t="s">
        <v>55</v>
      </c>
      <c r="Q33" s="17" t="s">
        <v>56</v>
      </c>
      <c r="R33" s="17" t="s">
        <v>57</v>
      </c>
      <c r="S33" s="17"/>
      <c r="T33" s="17" t="s">
        <v>12</v>
      </c>
      <c r="U33" s="17"/>
    </row>
    <row r="34" spans="15:21">
      <c r="O34" s="17">
        <v>1</v>
      </c>
      <c r="P34" s="17" t="s">
        <v>58</v>
      </c>
      <c r="Q34" s="17" t="s">
        <v>62</v>
      </c>
      <c r="R34" s="17" t="s">
        <v>60</v>
      </c>
      <c r="S34" s="17"/>
      <c r="T34" s="17" t="s">
        <v>12</v>
      </c>
      <c r="U34" s="17"/>
    </row>
    <row r="35" spans="15:21">
      <c r="O35" s="17">
        <v>1</v>
      </c>
      <c r="P35" s="17" t="s">
        <v>61</v>
      </c>
      <c r="Q35" s="17" t="s">
        <v>36</v>
      </c>
      <c r="R35" s="17" t="s">
        <v>63</v>
      </c>
      <c r="S35" s="17"/>
      <c r="T35" s="17" t="s">
        <v>12</v>
      </c>
      <c r="U35" s="17"/>
    </row>
    <row r="36" spans="15:21">
      <c r="O36" s="17">
        <v>1</v>
      </c>
      <c r="P36" s="17" t="s">
        <v>129</v>
      </c>
      <c r="Q36" s="17" t="s">
        <v>10</v>
      </c>
      <c r="R36" s="17" t="s">
        <v>130</v>
      </c>
      <c r="S36" s="17"/>
      <c r="T36" s="17" t="s">
        <v>12</v>
      </c>
      <c r="U36" s="17"/>
    </row>
    <row r="37" spans="15:21">
      <c r="O37" s="17">
        <v>2</v>
      </c>
      <c r="P37" s="17" t="s">
        <v>64</v>
      </c>
      <c r="Q37" s="17" t="s">
        <v>65</v>
      </c>
      <c r="R37" s="17" t="s">
        <v>66</v>
      </c>
      <c r="S37" s="17" t="s">
        <v>67</v>
      </c>
      <c r="T37" s="17" t="s">
        <v>12</v>
      </c>
      <c r="U37" s="17" t="s">
        <v>68</v>
      </c>
    </row>
    <row r="38" spans="15:21">
      <c r="O38" s="17"/>
      <c r="P38" s="17"/>
      <c r="Q38" s="17" t="s">
        <v>69</v>
      </c>
      <c r="R38" s="17"/>
      <c r="S38" s="17"/>
      <c r="T38" s="17"/>
      <c r="U38" s="17"/>
    </row>
    <row r="39" spans="15:21">
      <c r="O39" s="17">
        <v>4</v>
      </c>
      <c r="P39" s="17" t="s">
        <v>70</v>
      </c>
      <c r="Q39" s="17" t="s">
        <v>74</v>
      </c>
      <c r="R39" s="17" t="s">
        <v>50</v>
      </c>
      <c r="S39" s="17" t="s">
        <v>72</v>
      </c>
      <c r="T39" s="17" t="s">
        <v>12</v>
      </c>
      <c r="U39" s="17"/>
    </row>
    <row r="40" spans="15:21">
      <c r="O40" s="17"/>
      <c r="P40" s="17"/>
      <c r="Q40" s="17" t="s">
        <v>75</v>
      </c>
      <c r="R40" s="17"/>
      <c r="S40" s="17"/>
      <c r="T40" s="17"/>
      <c r="U40" s="17"/>
    </row>
    <row r="41" spans="15:21">
      <c r="O41" s="17"/>
      <c r="P41" s="17"/>
      <c r="Q41" s="17" t="s">
        <v>76</v>
      </c>
      <c r="R41" s="17"/>
      <c r="S41" s="17"/>
      <c r="T41" s="17"/>
      <c r="U41" s="17"/>
    </row>
    <row r="42" spans="15:21">
      <c r="O42" s="17"/>
      <c r="P42" s="17"/>
      <c r="Q42" s="17" t="s">
        <v>79</v>
      </c>
      <c r="R42" s="17"/>
      <c r="S42" s="17"/>
      <c r="T42" s="17"/>
      <c r="U42" s="17"/>
    </row>
    <row r="43" spans="15:21">
      <c r="O43" s="17">
        <v>1</v>
      </c>
      <c r="P43" s="17" t="s">
        <v>70</v>
      </c>
      <c r="Q43" s="17" t="s">
        <v>77</v>
      </c>
      <c r="R43" s="17" t="s">
        <v>50</v>
      </c>
      <c r="S43" s="17" t="s">
        <v>131</v>
      </c>
      <c r="T43" s="17" t="s">
        <v>12</v>
      </c>
      <c r="U43" s="17"/>
    </row>
    <row r="44" spans="15:21">
      <c r="O44" s="17">
        <v>1</v>
      </c>
      <c r="P44" s="17" t="s">
        <v>70</v>
      </c>
      <c r="Q44" s="17" t="s">
        <v>81</v>
      </c>
      <c r="R44" s="17" t="s">
        <v>50</v>
      </c>
      <c r="S44" s="17" t="s">
        <v>78</v>
      </c>
      <c r="T44" s="17" t="s">
        <v>12</v>
      </c>
      <c r="U44" s="17"/>
    </row>
    <row r="45" spans="15:21">
      <c r="O45" s="17">
        <v>2</v>
      </c>
      <c r="P45" s="17" t="s">
        <v>70</v>
      </c>
      <c r="Q45" s="17" t="s">
        <v>85</v>
      </c>
      <c r="R45" s="17" t="s">
        <v>50</v>
      </c>
      <c r="S45" s="17">
        <v>100</v>
      </c>
      <c r="T45" s="17" t="s">
        <v>12</v>
      </c>
      <c r="U45" s="17"/>
    </row>
    <row r="46" spans="15:21">
      <c r="O46" s="17"/>
      <c r="P46" s="17"/>
      <c r="Q46" s="17" t="s">
        <v>80</v>
      </c>
      <c r="R46" s="17"/>
      <c r="S46" s="17"/>
      <c r="T46" s="17"/>
      <c r="U46" s="17"/>
    </row>
    <row r="47" spans="15:21">
      <c r="O47" s="17">
        <v>1</v>
      </c>
      <c r="P47" s="17" t="s">
        <v>70</v>
      </c>
      <c r="Q47" s="17" t="s">
        <v>83</v>
      </c>
      <c r="R47" s="17" t="s">
        <v>50</v>
      </c>
      <c r="S47" s="17">
        <v>120</v>
      </c>
      <c r="T47" s="17" t="s">
        <v>12</v>
      </c>
      <c r="U47" s="17"/>
    </row>
    <row r="48" spans="15:21">
      <c r="O48" s="17">
        <v>2</v>
      </c>
      <c r="P48" s="17" t="s">
        <v>82</v>
      </c>
      <c r="Q48" s="17" t="s">
        <v>71</v>
      </c>
      <c r="R48" s="17" t="s">
        <v>84</v>
      </c>
      <c r="S48" s="17">
        <v>10</v>
      </c>
      <c r="T48" s="17" t="s">
        <v>12</v>
      </c>
      <c r="U48" s="17"/>
    </row>
    <row r="49" spans="15:21">
      <c r="O49" s="17"/>
      <c r="P49" s="17"/>
      <c r="Q49" s="17" t="s">
        <v>73</v>
      </c>
      <c r="R49" s="17"/>
      <c r="S49" s="17"/>
      <c r="T49" s="17"/>
      <c r="U49" s="17"/>
    </row>
    <row r="50" spans="15:21">
      <c r="O50" s="17">
        <v>1</v>
      </c>
      <c r="P50" s="17" t="s">
        <v>86</v>
      </c>
      <c r="Q50" s="17" t="s">
        <v>40</v>
      </c>
      <c r="R50" s="17" t="s">
        <v>88</v>
      </c>
      <c r="S50" s="17"/>
      <c r="T50" s="17" t="s">
        <v>12</v>
      </c>
      <c r="U50" s="17"/>
    </row>
    <row r="51" spans="15:21">
      <c r="O51" s="17">
        <v>1</v>
      </c>
      <c r="P51" s="17" t="s">
        <v>89</v>
      </c>
      <c r="Q51" s="17" t="s">
        <v>52</v>
      </c>
      <c r="R51" s="17" t="s">
        <v>91</v>
      </c>
      <c r="S51" s="17"/>
      <c r="T51" s="17" t="s">
        <v>12</v>
      </c>
      <c r="U51" s="17"/>
    </row>
    <row r="52" spans="15:21">
      <c r="O52" s="17">
        <v>1</v>
      </c>
      <c r="P52" s="17" t="s">
        <v>92</v>
      </c>
      <c r="Q52" s="17" t="s">
        <v>132</v>
      </c>
      <c r="R52" s="17" t="s">
        <v>63</v>
      </c>
      <c r="S52" s="17"/>
      <c r="T52" s="17" t="s">
        <v>12</v>
      </c>
      <c r="U52" s="17"/>
    </row>
  </sheetData>
  <mergeCells count="1">
    <mergeCell ref="K30:L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Feuil1</vt:lpstr>
      <vt:lpstr>Feuil2</vt:lpstr>
      <vt:lpstr>Feuil3</vt:lpstr>
      <vt:lpstr>Feuil1!pcb_bateau</vt:lpstr>
      <vt:lpstr>Feuil1!Untitled1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</dc:creator>
  <cp:lastModifiedBy>Etudiant</cp:lastModifiedBy>
  <dcterms:created xsi:type="dcterms:W3CDTF">2025-02-20T12:12:39Z</dcterms:created>
  <dcterms:modified xsi:type="dcterms:W3CDTF">2025-03-24T12:07:33Z</dcterms:modified>
</cp:coreProperties>
</file>